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backlo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<sst xmlns="http://schemas.openxmlformats.org/spreadsheetml/2006/main" count="192" uniqueCount="140">
  <si>
    <t xml:space="preserve">Full ML guitar pedal vision</t>
  </si>
  <si>
    <t xml:space="preserve">Vision items</t>
  </si>
  <si>
    <t xml:space="preserve">MVP items</t>
  </si>
  <si>
    <t xml:space="preserve">Final items</t>
  </si>
  <si>
    <t xml:space="preserve">Planning baseline. Owner and status are intentionally blank; no completion is implied.</t>
  </si>
  <si>
    <t xml:space="preserve">ID</t>
  </si>
  <si>
    <t xml:space="preserve">Horizon</t>
  </si>
  <si>
    <t xml:space="preserve">Workstream</t>
  </si>
  <si>
    <t xml:space="preserve">Outcome</t>
  </si>
  <si>
    <t xml:space="preserve">Acceptance evidence</t>
  </si>
  <si>
    <t xml:space="preserve">Depends on</t>
  </si>
  <si>
    <t xml:space="preserve">Owner</t>
  </si>
  <si>
    <t xml:space="preserve">Status</t>
  </si>
  <si>
    <t xml:space="preserve">P01</t>
  </si>
  <si>
    <t xml:space="preserve">MVP</t>
  </si>
  <si>
    <t xml:space="preserve">Platform</t>
  </si>
  <si>
    <t xml:space="preserve">Choose Raspberry Pi platform and OS image</t>
  </si>
  <si>
    <t xml:space="preserve">Pi boots repeatably with versioned OS and audio prerequisites recorded</t>
  </si>
  <si>
    <t xml:space="preserve">P02</t>
  </si>
  <si>
    <t xml:space="preserve">Audio hardware</t>
  </si>
  <si>
    <t xml:space="preserve">Select a guitar-capable audio interface</t>
  </si>
  <si>
    <t xml:space="preserve">Capture and playback work at the target sample rate on the Pi</t>
  </si>
  <si>
    <t xml:space="preserve">P03</t>
  </si>
  <si>
    <t xml:space="preserve">Audio engine</t>
  </si>
  <si>
    <t xml:space="preserve">Stream guitar input through effect output</t>
  </si>
  <si>
    <t xml:space="preserve">Continuous live path runs with recovery counts and no unintended stops</t>
  </si>
  <si>
    <t xml:space="preserve">P04</t>
  </si>
  <si>
    <t xml:space="preserve">Switch between clean and effect modes</t>
  </si>
  <si>
    <t xml:space="preserve">Switching is audible, controllable, and free of switching clicks</t>
  </si>
  <si>
    <t xml:space="preserve">P06</t>
  </si>
  <si>
    <t xml:space="preserve">ML pitch</t>
  </si>
  <si>
    <t xml:space="preserve">Collect and label clean guitar recordings</t>
  </si>
  <si>
    <t xml:space="preserve">Dataset covers chosen strings, frets, and pickups with documented labels</t>
  </si>
  <si>
    <t xml:space="preserve">P07</t>
  </si>
  <si>
    <t xml:space="preserve">Train and evaluate pitch classifier</t>
  </si>
  <si>
    <t xml:space="preserve">Training run, holdout results, and model artifact are reproducible</t>
  </si>
  <si>
    <t xml:space="preserve">P08</t>
  </si>
  <si>
    <t xml:space="preserve">Run pitch inference on the Pi</t>
  </si>
  <si>
    <t xml:space="preserve">Live input produces note estimates with measured inference timing</t>
  </si>
  <si>
    <t xml:space="preserve">P03, P07</t>
  </si>
  <si>
    <t xml:space="preserve">P09</t>
  </si>
  <si>
    <t xml:space="preserve">Effects</t>
  </si>
  <si>
    <t xml:space="preserve">Provide several usable effects</t>
  </si>
  <si>
    <t xml:space="preserve">Overdrive plus at least two distinct effects are selectable and adjustable</t>
  </si>
  <si>
    <t xml:space="preserve">P11</t>
  </si>
  <si>
    <t xml:space="preserve">Physical control</t>
  </si>
  <si>
    <t xml:space="preserve">Add reliable footswitch control</t>
  </si>
  <si>
    <t xml:space="preserve">Presses change modes or presets without duplicate triggers</t>
  </si>
  <si>
    <t xml:space="preserve">P12</t>
  </si>
  <si>
    <t xml:space="preserve">Electronics</t>
  </si>
  <si>
    <t xml:space="preserve">Design dedicated GPIO interface circuit</t>
  </si>
  <si>
    <t xml:space="preserve">Schematic covers switch inputs, protection, connectors, and safe Pi voltage levels</t>
  </si>
  <si>
    <t xml:space="preserve">P01, P11</t>
  </si>
  <si>
    <t xml:space="preserve">P14</t>
  </si>
  <si>
    <t xml:space="preserve">Display</t>
  </si>
  <si>
    <t xml:space="preserve">Select and connect a Pi screen</t>
  </si>
  <si>
    <t xml:space="preserve">Screen renders the application at intended resolution and power budget</t>
  </si>
  <si>
    <t xml:space="preserve">P15</t>
  </si>
  <si>
    <t xml:space="preserve">UI</t>
  </si>
  <si>
    <t xml:space="preserve">Design a clear pedal interface</t>
  </si>
  <si>
    <t xml:space="preserve">UI shows effect, preset, bypass state, levels, and key parameters</t>
  </si>
  <si>
    <t xml:space="preserve">P10</t>
  </si>
  <si>
    <t xml:space="preserve">Save and recall presets</t>
  </si>
  <si>
    <t xml:space="preserve">Preset changes restore effect type and parameter values reliably</t>
  </si>
  <si>
    <t xml:space="preserve">P13</t>
  </si>
  <si>
    <t xml:space="preserve">Build and test GPIO interface PCB</t>
  </si>
  <si>
    <t xml:space="preserve">Assembled circuit passes continuity, input, and electrical safety checks</t>
  </si>
  <si>
    <t xml:space="preserve">P16</t>
  </si>
  <si>
    <t xml:space="preserve">Control effects from the screen</t>
  </si>
  <si>
    <t xml:space="preserve">Touch or alternate input changes parameters with visible feedback</t>
  </si>
  <si>
    <t xml:space="preserve">P10, P15</t>
  </si>
  <si>
    <t xml:space="preserve">P17</t>
  </si>
  <si>
    <t xml:space="preserve">Integration</t>
  </si>
  <si>
    <t xml:space="preserve">Integrate audio, screen, and physical controls</t>
  </si>
  <si>
    <t xml:space="preserve">All controls operate while audio continues without interruption</t>
  </si>
  <si>
    <t xml:space="preserve">P03, P11, P13, P16</t>
  </si>
  <si>
    <t xml:space="preserve">P18</t>
  </si>
  <si>
    <t xml:space="preserve">Enclosure</t>
  </si>
  <si>
    <t xml:space="preserve">Prototype 3D-printed case</t>
  </si>
  <si>
    <t xml:space="preserve">Pi, interface, screen, PCB, jacks, and controls fit and remain accessible</t>
  </si>
  <si>
    <t xml:space="preserve">P02, P13, P14</t>
  </si>
  <si>
    <t xml:space="preserve">P05</t>
  </si>
  <si>
    <t xml:space="preserve">Performance</t>
  </si>
  <si>
    <t xml:space="preserve">Meet immediate 30 ms latency target</t>
  </si>
  <si>
    <t xml:space="preserve">Defined product latency test records result below 30 ms on target hardware</t>
  </si>
  <si>
    <t xml:space="preserve">P19</t>
  </si>
  <si>
    <t xml:space="preserve">Power</t>
  </si>
  <si>
    <t xml:space="preserve">Provide safe power and shutdown behavior</t>
  </si>
  <si>
    <t xml:space="preserve">Power path and shutdown process avoid corruption and unsafe GPIO states</t>
  </si>
  <si>
    <t xml:space="preserve">P20</t>
  </si>
  <si>
    <t xml:space="preserve">Reliability</t>
  </si>
  <si>
    <t xml:space="preserve">Start and recover the pedal automatically</t>
  </si>
  <si>
    <t xml:space="preserve">Service starts after boot and surfaces failures without silent audio loss</t>
  </si>
  <si>
    <t xml:space="preserve">P21</t>
  </si>
  <si>
    <t xml:space="preserve">Audio quality</t>
  </si>
  <si>
    <t xml:space="preserve">Check noise and signal integrity</t>
  </si>
  <si>
    <t xml:space="preserve">Input/output noise, clipping, and level tests are documented on hardware</t>
  </si>
  <si>
    <t xml:space="preserve">P22</t>
  </si>
  <si>
    <t xml:space="preserve">Audio safety</t>
  </si>
  <si>
    <t xml:space="preserve">Set safe output and bypass levels</t>
  </si>
  <si>
    <t xml:space="preserve">Default gains and bypass transition avoid sudden loud output</t>
  </si>
  <si>
    <t xml:space="preserve">P04, P17</t>
  </si>
  <si>
    <t xml:space="preserve">P23</t>
  </si>
  <si>
    <t xml:space="preserve">User testing</t>
  </si>
  <si>
    <t xml:space="preserve">Run alpha player sessions</t>
  </si>
  <si>
    <t xml:space="preserve">Players complete core tasks; findings and fixes are recorded</t>
  </si>
  <si>
    <t xml:space="preserve">P17, P18, P20</t>
  </si>
  <si>
    <t xml:space="preserve">P25</t>
  </si>
  <si>
    <t xml:space="preserve">Final</t>
  </si>
  <si>
    <t xml:space="preserve">ML effects</t>
  </si>
  <si>
    <t xml:space="preserve">Deploy a trained ML audio effect</t>
  </si>
  <si>
    <t xml:space="preserve">A trained timbre effect runs on-device and is selectable in the chain</t>
  </si>
  <si>
    <t xml:space="preserve">P07, P09, P17</t>
  </si>
  <si>
    <t xml:space="preserve">P26</t>
  </si>
  <si>
    <t xml:space="preserve">Support multi-effect chains</t>
  </si>
  <si>
    <t xml:space="preserve">Players can route and adjust multiple effects in one preset</t>
  </si>
  <si>
    <t xml:space="preserve">P10, P25</t>
  </si>
  <si>
    <t xml:space="preserve">P24</t>
  </si>
  <si>
    <t xml:space="preserve">Meet long-term 10 ms latency goal</t>
  </si>
  <si>
    <t xml:space="preserve">Same defined product latency test records result below 10 ms on target hardware</t>
  </si>
  <si>
    <t xml:space="preserve">P05, P26</t>
  </si>
  <si>
    <t xml:space="preserve">P27</t>
  </si>
  <si>
    <t xml:space="preserve">Release</t>
  </si>
  <si>
    <t xml:space="preserve">Document update and recovery process</t>
  </si>
  <si>
    <t xml:space="preserve">Software and model updates can be applied and rolled back</t>
  </si>
  <si>
    <t xml:space="preserve">P20, P25</t>
  </si>
  <si>
    <t xml:space="preserve">P28</t>
  </si>
  <si>
    <t xml:space="preserve">Build</t>
  </si>
  <si>
    <t xml:space="preserve">Finalize bill of materials and assembly</t>
  </si>
  <si>
    <t xml:space="preserve">Parts, enclosure files, circuit revision, and assembly steps are reproducible</t>
  </si>
  <si>
    <t xml:space="preserve">P13, P18</t>
  </si>
  <si>
    <t xml:space="preserve">P29</t>
  </si>
  <si>
    <t xml:space="preserve">Validation</t>
  </si>
  <si>
    <t xml:space="preserve">Complete final player and hardware validation</t>
  </si>
  <si>
    <t xml:space="preserve">Endurance, usability, audio quality, and 30 ms latency checks pass</t>
  </si>
  <si>
    <t xml:space="preserve">P05, P26, P27, P28</t>
  </si>
  <si>
    <t xml:space="preserve">P30</t>
  </si>
  <si>
    <t xml:space="preserve">Documentation</t>
  </si>
  <si>
    <t xml:space="preserve">Publish final user and service guides</t>
  </si>
  <si>
    <t xml:space="preserve">Setup, operation, maintenance, and troubleshooting match shipped build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</si>
</sst>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203040"/>
      <name val="Arial"/>
      <family val="0"/>
      <charset val="1"/>
    </font>
    <font>
      <b val="true"/>
      <sz val="15"/>
      <color rgb="FF20334A"/>
      <name val="Arial"/>
      <family val="0"/>
      <charset val="1"/>
    </font>
    <font>
      <i val="true"/>
      <sz val="10"/>
      <color rgb="FF607387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0334A"/>
        <bgColor rgb="FF203040"/>
      </patternFill>
    </fill>
    <fill>
      <patternFill patternType="solid">
        <fgColor rgb="FFFFF2C7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7387"/>
      <rgbColor rgb="FF969696"/>
      <rgbColor rgb="FF20334A"/>
      <rgbColor rgb="FF339966"/>
      <rgbColor rgb="FF003300"/>
      <rgbColor rgb="FF333300"/>
      <rgbColor rgb="FF993300"/>
      <rgbColor rgb="FF993366"/>
      <rgbColor rgb="FF333399"/>
      <rgbColor rgb="FF203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334A"/>
    <pageSetUpPr fitToPage="fals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6" topLeftCell="A7" activePane="bottomLeft" state="frozen"/>
      <selection pane="topLeft" activeCell="A1" activeCellId="0" sqref="A1"/>
      <selection pane="bottomLeft" activeCell="E38" activeCellId="0" sqref="A38:E38"/>
    </sheetView>
  </sheetViews>
  <sheetFormatPr defaultColWidth="9.90234375" defaultRowHeight="15" customHeight="false" zeroHeight="false" outlineLevelRow="0" outlineLevelCol="0"/>
  <cols>
    <col collapsed="false" customWidth="true" hidden="false" outlineLevel="0" max="1" min="1" style="0" width="11.53"/>
    <col collapsed="false" customWidth="true" hidden="false" outlineLevel="0" max="2" min="2" style="0" width="14.99"/>
    <col collapsed="false" customWidth="true" hidden="false" outlineLevel="0" max="3" min="3" style="0" width="20.76"/>
    <col collapsed="false" customWidth="true" hidden="false" outlineLevel="0" max="4" min="4" style="0" width="40.36"/>
    <col collapsed="false" customWidth="true" hidden="false" outlineLevel="0" max="5" min="5" style="0" width="84.18"/>
    <col collapsed="false" customWidth="true" hidden="false" outlineLevel="0" max="6" min="6" style="0" width="26.52"/>
    <col collapsed="false" customWidth="true" hidden="false" outlineLevel="0" max="8" min="7" style="0" width="19.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8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 t="s">
        <v>1</v>
      </c>
      <c r="B3" s="1" t="n">
        <f aca="false">COUNTA(A7:A36)</f>
        <v>30</v>
      </c>
      <c r="C3" s="1"/>
      <c r="D3" s="1" t="s">
        <v>2</v>
      </c>
      <c r="E3" s="1" t="n">
        <f aca="false">COUNTIF(B7:B36,"MVP")</f>
        <v>23</v>
      </c>
      <c r="F3" s="1"/>
      <c r="G3" s="1" t="s">
        <v>3</v>
      </c>
      <c r="H3" s="1" t="n">
        <f aca="false">COUNTIF(B7:B36,"Final")</f>
        <v>7</v>
      </c>
    </row>
    <row r="4" customFormat="false" ht="24" hidden="false" customHeight="true" outlineLevel="0" collapsed="false">
      <c r="A4" s="3" t="s">
        <v>4</v>
      </c>
      <c r="B4" s="1"/>
      <c r="C4" s="1"/>
      <c r="D4" s="1"/>
      <c r="E4" s="1"/>
      <c r="F4" s="1"/>
      <c r="G4" s="1"/>
      <c r="H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</row>
    <row r="6" customFormat="false" ht="28" hidden="false" customHeight="true" outlineLevel="0" collapsed="false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</row>
    <row r="7" customFormat="false" ht="44" hidden="false" customHeight="true" outlineLevel="0" collapsed="false">
      <c r="A7" s="1" t="s">
        <v>13</v>
      </c>
      <c r="B7" s="1" t="s">
        <v>14</v>
      </c>
      <c r="C7" s="1" t="s">
        <v>15</v>
      </c>
      <c r="D7" s="5" t="s">
        <v>16</v>
      </c>
      <c r="E7" s="5" t="s">
        <v>17</v>
      </c>
      <c r="F7" s="1"/>
      <c r="G7" s="6"/>
      <c r="H7" s="6"/>
    </row>
    <row r="8" customFormat="false" ht="44" hidden="false" customHeight="true" outlineLevel="0" collapsed="false">
      <c r="A8" s="1" t="s">
        <v>18</v>
      </c>
      <c r="B8" s="1" t="s">
        <v>14</v>
      </c>
      <c r="C8" s="1" t="s">
        <v>19</v>
      </c>
      <c r="D8" s="5" t="s">
        <v>20</v>
      </c>
      <c r="E8" s="5" t="s">
        <v>21</v>
      </c>
      <c r="F8" s="1" t="s">
        <v>13</v>
      </c>
      <c r="G8" s="6"/>
      <c r="H8" s="6"/>
    </row>
    <row r="9" customFormat="false" ht="44" hidden="false" customHeight="true" outlineLevel="0" collapsed="false">
      <c r="A9" s="1" t="s">
        <v>22</v>
      </c>
      <c r="B9" s="1" t="s">
        <v>14</v>
      </c>
      <c r="C9" s="1" t="s">
        <v>23</v>
      </c>
      <c r="D9" s="5" t="s">
        <v>24</v>
      </c>
      <c r="E9" s="5" t="s">
        <v>25</v>
      </c>
      <c r="F9" s="1" t="s">
        <v>18</v>
      </c>
      <c r="G9" s="6"/>
      <c r="H9" s="6"/>
    </row>
    <row r="10" customFormat="false" ht="44" hidden="false" customHeight="true" outlineLevel="0" collapsed="false">
      <c r="A10" s="1" t="s">
        <v>26</v>
      </c>
      <c r="B10" s="1" t="s">
        <v>14</v>
      </c>
      <c r="C10" s="1" t="s">
        <v>23</v>
      </c>
      <c r="D10" s="5" t="s">
        <v>27</v>
      </c>
      <c r="E10" s="5" t="s">
        <v>28</v>
      </c>
      <c r="F10" s="1" t="s">
        <v>22</v>
      </c>
      <c r="G10" s="6"/>
      <c r="H10" s="6"/>
    </row>
    <row r="11" customFormat="false" ht="44" hidden="false" customHeight="true" outlineLevel="0" collapsed="false">
      <c r="A11" s="1" t="s">
        <v>29</v>
      </c>
      <c r="B11" s="1" t="s">
        <v>14</v>
      </c>
      <c r="C11" s="1" t="s">
        <v>30</v>
      </c>
      <c r="D11" s="5" t="s">
        <v>31</v>
      </c>
      <c r="E11" s="5" t="s">
        <v>32</v>
      </c>
      <c r="F11" s="1" t="s">
        <v>18</v>
      </c>
      <c r="G11" s="6"/>
      <c r="H11" s="6"/>
    </row>
    <row r="12" customFormat="false" ht="44" hidden="false" customHeight="true" outlineLevel="0" collapsed="false">
      <c r="A12" s="1" t="s">
        <v>33</v>
      </c>
      <c r="B12" s="1" t="s">
        <v>14</v>
      </c>
      <c r="C12" s="1" t="s">
        <v>30</v>
      </c>
      <c r="D12" s="5" t="s">
        <v>34</v>
      </c>
      <c r="E12" s="5" t="s">
        <v>35</v>
      </c>
      <c r="F12" s="1" t="s">
        <v>29</v>
      </c>
      <c r="G12" s="6"/>
      <c r="H12" s="6"/>
    </row>
    <row r="13" customFormat="false" ht="44" hidden="false" customHeight="true" outlineLevel="0" collapsed="false">
      <c r="A13" s="1" t="s">
        <v>36</v>
      </c>
      <c r="B13" s="1" t="s">
        <v>14</v>
      </c>
      <c r="C13" s="1" t="s">
        <v>30</v>
      </c>
      <c r="D13" s="5" t="s">
        <v>37</v>
      </c>
      <c r="E13" s="5" t="s">
        <v>38</v>
      </c>
      <c r="F13" s="1" t="s">
        <v>39</v>
      </c>
      <c r="G13" s="6"/>
      <c r="H13" s="6"/>
    </row>
    <row r="14" customFormat="false" ht="44" hidden="false" customHeight="true" outlineLevel="0" collapsed="false">
      <c r="A14" s="1" t="s">
        <v>40</v>
      </c>
      <c r="B14" s="1" t="s">
        <v>14</v>
      </c>
      <c r="C14" s="1" t="s">
        <v>41</v>
      </c>
      <c r="D14" s="5" t="s">
        <v>42</v>
      </c>
      <c r="E14" s="5" t="s">
        <v>43</v>
      </c>
      <c r="F14" s="1" t="s">
        <v>22</v>
      </c>
      <c r="G14" s="6"/>
      <c r="H14" s="6"/>
    </row>
    <row r="15" customFormat="false" ht="44" hidden="false" customHeight="true" outlineLevel="0" collapsed="false">
      <c r="A15" s="1" t="s">
        <v>44</v>
      </c>
      <c r="B15" s="1" t="s">
        <v>14</v>
      </c>
      <c r="C15" s="1" t="s">
        <v>45</v>
      </c>
      <c r="D15" s="5" t="s">
        <v>46</v>
      </c>
      <c r="E15" s="5" t="s">
        <v>47</v>
      </c>
      <c r="F15" s="1" t="s">
        <v>26</v>
      </c>
      <c r="G15" s="6"/>
      <c r="H15" s="6"/>
    </row>
    <row r="16" customFormat="false" ht="44" hidden="false" customHeight="true" outlineLevel="0" collapsed="false">
      <c r="A16" s="1" t="s">
        <v>48</v>
      </c>
      <c r="B16" s="1" t="s">
        <v>14</v>
      </c>
      <c r="C16" s="1" t="s">
        <v>49</v>
      </c>
      <c r="D16" s="5" t="s">
        <v>50</v>
      </c>
      <c r="E16" s="5" t="s">
        <v>51</v>
      </c>
      <c r="F16" s="1" t="s">
        <v>52</v>
      </c>
      <c r="G16" s="6"/>
      <c r="H16" s="6"/>
    </row>
    <row r="17" customFormat="false" ht="44" hidden="false" customHeight="true" outlineLevel="0" collapsed="false">
      <c r="A17" s="1" t="s">
        <v>53</v>
      </c>
      <c r="B17" s="1" t="s">
        <v>14</v>
      </c>
      <c r="C17" s="1" t="s">
        <v>54</v>
      </c>
      <c r="D17" s="5" t="s">
        <v>55</v>
      </c>
      <c r="E17" s="5" t="s">
        <v>56</v>
      </c>
      <c r="F17" s="1" t="s">
        <v>13</v>
      </c>
      <c r="G17" s="6"/>
      <c r="H17" s="6"/>
    </row>
    <row r="18" customFormat="false" ht="44" hidden="false" customHeight="true" outlineLevel="0" collapsed="false">
      <c r="A18" s="1" t="s">
        <v>57</v>
      </c>
      <c r="B18" s="1" t="s">
        <v>14</v>
      </c>
      <c r="C18" s="1" t="s">
        <v>58</v>
      </c>
      <c r="D18" s="5" t="s">
        <v>59</v>
      </c>
      <c r="E18" s="5" t="s">
        <v>60</v>
      </c>
      <c r="F18" s="1" t="s">
        <v>53</v>
      </c>
      <c r="G18" s="6"/>
      <c r="H18" s="6"/>
    </row>
    <row r="19" customFormat="false" ht="44" hidden="false" customHeight="true" outlineLevel="0" collapsed="false">
      <c r="A19" s="1" t="s">
        <v>61</v>
      </c>
      <c r="B19" s="1" t="s">
        <v>14</v>
      </c>
      <c r="C19" s="1" t="s">
        <v>41</v>
      </c>
      <c r="D19" s="5" t="s">
        <v>62</v>
      </c>
      <c r="E19" s="5" t="s">
        <v>63</v>
      </c>
      <c r="F19" s="1" t="s">
        <v>40</v>
      </c>
      <c r="G19" s="6"/>
      <c r="H19" s="6"/>
    </row>
    <row r="20" customFormat="false" ht="44" hidden="false" customHeight="true" outlineLevel="0" collapsed="false">
      <c r="A20" s="1" t="s">
        <v>64</v>
      </c>
      <c r="B20" s="1" t="s">
        <v>14</v>
      </c>
      <c r="C20" s="1" t="s">
        <v>49</v>
      </c>
      <c r="D20" s="5" t="s">
        <v>65</v>
      </c>
      <c r="E20" s="5" t="s">
        <v>66</v>
      </c>
      <c r="F20" s="1" t="s">
        <v>48</v>
      </c>
      <c r="G20" s="6"/>
      <c r="H20" s="6"/>
    </row>
    <row r="21" customFormat="false" ht="44" hidden="false" customHeight="true" outlineLevel="0" collapsed="false">
      <c r="A21" s="1" t="s">
        <v>67</v>
      </c>
      <c r="B21" s="1" t="s">
        <v>14</v>
      </c>
      <c r="C21" s="1" t="s">
        <v>58</v>
      </c>
      <c r="D21" s="5" t="s">
        <v>68</v>
      </c>
      <c r="E21" s="5" t="s">
        <v>69</v>
      </c>
      <c r="F21" s="1" t="s">
        <v>70</v>
      </c>
      <c r="G21" s="6"/>
      <c r="H21" s="6"/>
    </row>
    <row r="22" customFormat="false" ht="44" hidden="false" customHeight="true" outlineLevel="0" collapsed="false">
      <c r="A22" s="1" t="s">
        <v>71</v>
      </c>
      <c r="B22" s="1" t="s">
        <v>14</v>
      </c>
      <c r="C22" s="1" t="s">
        <v>72</v>
      </c>
      <c r="D22" s="5" t="s">
        <v>73</v>
      </c>
      <c r="E22" s="5" t="s">
        <v>74</v>
      </c>
      <c r="F22" s="1" t="s">
        <v>75</v>
      </c>
      <c r="G22" s="6"/>
      <c r="H22" s="6"/>
    </row>
    <row r="23" customFormat="false" ht="44" hidden="false" customHeight="true" outlineLevel="0" collapsed="false">
      <c r="A23" s="1" t="s">
        <v>76</v>
      </c>
      <c r="B23" s="1" t="s">
        <v>14</v>
      </c>
      <c r="C23" s="1" t="s">
        <v>77</v>
      </c>
      <c r="D23" s="5" t="s">
        <v>78</v>
      </c>
      <c r="E23" s="5" t="s">
        <v>79</v>
      </c>
      <c r="F23" s="1" t="s">
        <v>80</v>
      </c>
      <c r="G23" s="6"/>
      <c r="H23" s="6"/>
    </row>
    <row r="24" customFormat="false" ht="44" hidden="false" customHeight="true" outlineLevel="0" collapsed="false">
      <c r="A24" s="1" t="s">
        <v>81</v>
      </c>
      <c r="B24" s="1" t="s">
        <v>14</v>
      </c>
      <c r="C24" s="1" t="s">
        <v>82</v>
      </c>
      <c r="D24" s="5" t="s">
        <v>83</v>
      </c>
      <c r="E24" s="5" t="s">
        <v>84</v>
      </c>
      <c r="F24" s="1" t="s">
        <v>71</v>
      </c>
      <c r="G24" s="6"/>
      <c r="H24" s="6"/>
    </row>
    <row r="25" customFormat="false" ht="44" hidden="false" customHeight="true" outlineLevel="0" collapsed="false">
      <c r="A25" s="1" t="s">
        <v>85</v>
      </c>
      <c r="B25" s="1" t="s">
        <v>14</v>
      </c>
      <c r="C25" s="1" t="s">
        <v>86</v>
      </c>
      <c r="D25" s="5" t="s">
        <v>87</v>
      </c>
      <c r="E25" s="5" t="s">
        <v>88</v>
      </c>
      <c r="F25" s="1" t="s">
        <v>71</v>
      </c>
      <c r="G25" s="6"/>
      <c r="H25" s="6"/>
    </row>
    <row r="26" customFormat="false" ht="44" hidden="false" customHeight="true" outlineLevel="0" collapsed="false">
      <c r="A26" s="1" t="s">
        <v>89</v>
      </c>
      <c r="B26" s="1" t="s">
        <v>14</v>
      </c>
      <c r="C26" s="1" t="s">
        <v>90</v>
      </c>
      <c r="D26" s="5" t="s">
        <v>91</v>
      </c>
      <c r="E26" s="5" t="s">
        <v>92</v>
      </c>
      <c r="F26" s="1" t="s">
        <v>71</v>
      </c>
      <c r="G26" s="6"/>
      <c r="H26" s="6"/>
    </row>
    <row r="27" customFormat="false" ht="44" hidden="false" customHeight="true" outlineLevel="0" collapsed="false">
      <c r="A27" s="1" t="s">
        <v>93</v>
      </c>
      <c r="B27" s="1" t="s">
        <v>14</v>
      </c>
      <c r="C27" s="1" t="s">
        <v>94</v>
      </c>
      <c r="D27" s="5" t="s">
        <v>95</v>
      </c>
      <c r="E27" s="5" t="s">
        <v>96</v>
      </c>
      <c r="F27" s="1" t="s">
        <v>71</v>
      </c>
      <c r="G27" s="6"/>
      <c r="H27" s="6"/>
    </row>
    <row r="28" customFormat="false" ht="44" hidden="false" customHeight="true" outlineLevel="0" collapsed="false">
      <c r="A28" s="1" t="s">
        <v>97</v>
      </c>
      <c r="B28" s="1" t="s">
        <v>14</v>
      </c>
      <c r="C28" s="1" t="s">
        <v>98</v>
      </c>
      <c r="D28" s="5" t="s">
        <v>99</v>
      </c>
      <c r="E28" s="5" t="s">
        <v>100</v>
      </c>
      <c r="F28" s="1" t="s">
        <v>101</v>
      </c>
      <c r="G28" s="6"/>
      <c r="H28" s="6"/>
    </row>
    <row r="29" customFormat="false" ht="44" hidden="false" customHeight="true" outlineLevel="0" collapsed="false">
      <c r="A29" s="1" t="s">
        <v>102</v>
      </c>
      <c r="B29" s="1" t="s">
        <v>14</v>
      </c>
      <c r="C29" s="1" t="s">
        <v>103</v>
      </c>
      <c r="D29" s="5" t="s">
        <v>104</v>
      </c>
      <c r="E29" s="5" t="s">
        <v>105</v>
      </c>
      <c r="F29" s="1" t="s">
        <v>106</v>
      </c>
      <c r="G29" s="6"/>
      <c r="H29" s="6"/>
    </row>
    <row r="30" customFormat="false" ht="44" hidden="false" customHeight="true" outlineLevel="0" collapsed="false">
      <c r="A30" s="1" t="s">
        <v>107</v>
      </c>
      <c r="B30" s="1" t="s">
        <v>108</v>
      </c>
      <c r="C30" s="1" t="s">
        <v>109</v>
      </c>
      <c r="D30" s="5" t="s">
        <v>110</v>
      </c>
      <c r="E30" s="5" t="s">
        <v>111</v>
      </c>
      <c r="F30" s="1" t="s">
        <v>112</v>
      </c>
      <c r="G30" s="6"/>
      <c r="H30" s="6"/>
    </row>
    <row r="31" customFormat="false" ht="44" hidden="false" customHeight="true" outlineLevel="0" collapsed="false">
      <c r="A31" s="1" t="s">
        <v>113</v>
      </c>
      <c r="B31" s="1" t="s">
        <v>108</v>
      </c>
      <c r="C31" s="1" t="s">
        <v>41</v>
      </c>
      <c r="D31" s="5" t="s">
        <v>114</v>
      </c>
      <c r="E31" s="5" t="s">
        <v>115</v>
      </c>
      <c r="F31" s="1" t="s">
        <v>116</v>
      </c>
      <c r="G31" s="6"/>
      <c r="H31" s="6"/>
    </row>
    <row r="32" customFormat="false" ht="44" hidden="false" customHeight="true" outlineLevel="0" collapsed="false">
      <c r="A32" s="1" t="s">
        <v>117</v>
      </c>
      <c r="B32" s="1" t="s">
        <v>108</v>
      </c>
      <c r="C32" s="1" t="s">
        <v>82</v>
      </c>
      <c r="D32" s="5" t="s">
        <v>118</v>
      </c>
      <c r="E32" s="5" t="s">
        <v>119</v>
      </c>
      <c r="F32" s="1" t="s">
        <v>120</v>
      </c>
      <c r="G32" s="6"/>
      <c r="H32" s="6"/>
    </row>
    <row r="33" customFormat="false" ht="44" hidden="false" customHeight="true" outlineLevel="0" collapsed="false">
      <c r="A33" s="1" t="s">
        <v>121</v>
      </c>
      <c r="B33" s="1" t="s">
        <v>108</v>
      </c>
      <c r="C33" s="1" t="s">
        <v>122</v>
      </c>
      <c r="D33" s="5" t="s">
        <v>123</v>
      </c>
      <c r="E33" s="5" t="s">
        <v>124</v>
      </c>
      <c r="F33" s="1" t="s">
        <v>125</v>
      </c>
      <c r="G33" s="6"/>
      <c r="H33" s="6"/>
    </row>
    <row r="34" customFormat="false" ht="44" hidden="false" customHeight="true" outlineLevel="0" collapsed="false">
      <c r="A34" s="1" t="s">
        <v>126</v>
      </c>
      <c r="B34" s="1" t="s">
        <v>108</v>
      </c>
      <c r="C34" s="1" t="s">
        <v>127</v>
      </c>
      <c r="D34" s="5" t="s">
        <v>128</v>
      </c>
      <c r="E34" s="5" t="s">
        <v>129</v>
      </c>
      <c r="F34" s="1" t="s">
        <v>130</v>
      </c>
      <c r="G34" s="6"/>
      <c r="H34" s="6"/>
    </row>
    <row r="35" customFormat="false" ht="44" hidden="false" customHeight="true" outlineLevel="0" collapsed="false">
      <c r="A35" s="1" t="s">
        <v>131</v>
      </c>
      <c r="B35" s="1" t="s">
        <v>108</v>
      </c>
      <c r="C35" s="1" t="s">
        <v>132</v>
      </c>
      <c r="D35" s="5" t="s">
        <v>133</v>
      </c>
      <c r="E35" s="5" t="s">
        <v>134</v>
      </c>
      <c r="F35" s="1" t="s">
        <v>135</v>
      </c>
      <c r="G35" s="6"/>
      <c r="H35" s="6"/>
    </row>
    <row r="36" customFormat="false" ht="44" hidden="false" customHeight="true" outlineLevel="0" collapsed="false">
      <c r="A36" s="1" t="s">
        <v>136</v>
      </c>
      <c r="B36" s="1" t="s">
        <v>108</v>
      </c>
      <c r="C36" s="1" t="s">
        <v>137</v>
      </c>
      <c r="D36" s="5" t="s">
        <v>138</v>
      </c>
      <c r="E36" s="5" t="s">
        <v>139</v>
      </c>
      <c r="F36" s="1" t="s">
        <v>131</v>
      </c>
      <c r="G36" s="6"/>
      <c r="H36" s="6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3"/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</sheetData>
  <dataValidations count="1">
    <dataValidation allowBlank="false" errorStyle="stop" operator="between" showDropDown="false" showErrorMessage="false" showInputMessage="false" sqref="H7:H36" type="list">
      <formula1>"Planned,Ready,In Progress,Blocked,Done"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2026-10-09T10:44:48Z</dcterms:modified>
  <cp:revision>1</cp:revision>
  <dc:subject/>
  <dc:title/>
</cp:coreProperties>
</file>